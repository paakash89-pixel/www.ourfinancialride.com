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Inputs" state="visible" r:id="rId4"/>
    <sheet sheetId="2" name="01_Cashflow" state="visible" r:id="rId5"/>
    <sheet sheetId="3" name="02_FI_Tracker" state="visible" r:id="rId6"/>
    <sheet sheetId="4" name="03_Compound_Path" state="visible" r:id="rId7"/>
    <sheet sheetId="5" name="04_Withdrawal" state="visible" r:id="rId8"/>
    <sheet sheetId="6" name="05_Allocation" state="visible" r:id="rId9"/>
    <sheet sheetId="7" name="06_Housing_Model" state="visible" r:id="rId10"/>
    <sheet sheetId="8" name="07_Quarterly_Review" state="visible" r:id="rId11"/>
    <sheet sheetId="9" name="08_Dashboard" state="visible" r:id="rId12"/>
    <sheet sheetId="10" name="09_Wealth_Priority_Outcomes" state="visible" r:id="rId13"/>
    <sheet sheetId="11" name="10_Wealth_Priority_Order" state="visible" r:id="rId14"/>
  </sheets>
  <calcPr calcId="171027"/>
</workbook>
</file>

<file path=xl/sharedStrings.xml><?xml version="1.0" encoding="utf-8"?>
<sst xmlns="http://schemas.openxmlformats.org/spreadsheetml/2006/main" count="209" uniqueCount="177">
  <si>
    <t>Input</t>
  </si>
  <si>
    <t>Value</t>
  </si>
  <si>
    <t>Notes</t>
  </si>
  <si>
    <t>Household income (annual)</t>
  </si>
  <si>
    <t>US family of four example</t>
  </si>
  <si>
    <t>Savings rate</t>
  </si>
  <si>
    <t>Discipline target</t>
  </si>
  <si>
    <t>Annual investing</t>
  </si>
  <si>
    <t>Auto-calculated</t>
  </si>
  <si>
    <t>Current portfolio</t>
  </si>
  <si>
    <t>Starting investments</t>
  </si>
  <si>
    <t>Annual expenses (FI target)</t>
  </si>
  <si>
    <t>Required annual spend</t>
  </si>
  <si>
    <t>FI withdrawal rate</t>
  </si>
  <si>
    <t>Conservative default</t>
  </si>
  <si>
    <t>FI number</t>
  </si>
  <si>
    <t>Target portfolio</t>
  </si>
  <si>
    <t>Expected nominal return</t>
  </si>
  <si>
    <t>Long-run conservative assumption</t>
  </si>
  <si>
    <t>Inflation</t>
  </si>
  <si>
    <t>Long-run assumption</t>
  </si>
  <si>
    <t>Real return</t>
  </si>
  <si>
    <t>Inflation adjusted</t>
  </si>
  <si>
    <t>Years modeled</t>
  </si>
  <si>
    <t>Planning horizon</t>
  </si>
  <si>
    <t>Starting withdrawal (annual)</t>
  </si>
  <si>
    <t>Initial retirement draw</t>
  </si>
  <si>
    <t>Housing: annual ownership cost</t>
  </si>
  <si>
    <t>Mortgage+tax+insurance+maint</t>
  </si>
  <si>
    <t>Housing: annual rent cost</t>
  </si>
  <si>
    <t>Rent + renter insurance</t>
  </si>
  <si>
    <t>Category</t>
  </si>
  <si>
    <t>Annual</t>
  </si>
  <si>
    <t>Monthly</t>
  </si>
  <si>
    <t>Ratio</t>
  </si>
  <si>
    <t>Income</t>
  </si>
  <si>
    <t>From inputs</t>
  </si>
  <si>
    <t>Investing</t>
  </si>
  <si>
    <t>Auto transfer</t>
  </si>
  <si>
    <t>Needs (fixed)</t>
  </si>
  <si>
    <t>Mortgage, utilities, insurance</t>
  </si>
  <si>
    <t>Wants (joy)</t>
  </si>
  <si>
    <t>Travel, dining, experiences</t>
  </si>
  <si>
    <t>Other</t>
  </si>
  <si>
    <t>Buffer + irregular spend</t>
  </si>
  <si>
    <t>Savings + investing rate</t>
  </si>
  <si>
    <t/>
  </si>
  <si>
    <t>Keep at or above 25%</t>
  </si>
  <si>
    <t>Year</t>
  </si>
  <si>
    <t>Starting Portfolio</t>
  </si>
  <si>
    <t>Contribution</t>
  </si>
  <si>
    <t>Growth</t>
  </si>
  <si>
    <t>Ending Portfolio</t>
  </si>
  <si>
    <t>FI Number</t>
  </si>
  <si>
    <t>FI Progress %</t>
  </si>
  <si>
    <t>Starting Corpus</t>
  </si>
  <si>
    <t>Annual Contribution</t>
  </si>
  <si>
    <t>Ending Corpus</t>
  </si>
  <si>
    <t>Real Corpus</t>
  </si>
  <si>
    <t>Withdrawal</t>
  </si>
  <si>
    <t>Sustainable?</t>
  </si>
  <si>
    <t>Bucket</t>
  </si>
  <si>
    <t>Target %</t>
  </si>
  <si>
    <t>Current %</t>
  </si>
  <si>
    <t>Drift %</t>
  </si>
  <si>
    <t>Action</t>
  </si>
  <si>
    <t>US Total Stock</t>
  </si>
  <si>
    <t>US Total Bond</t>
  </si>
  <si>
    <t>International Stock</t>
  </si>
  <si>
    <t>Portfolio Value</t>
  </si>
  <si>
    <t>Auto-linked from FI tracker</t>
  </si>
  <si>
    <t>Metric</t>
  </si>
  <si>
    <t>Own</t>
  </si>
  <si>
    <t>Rent</t>
  </si>
  <si>
    <t>Difference</t>
  </si>
  <si>
    <t>Annual housing cost</t>
  </si>
  <si>
    <t>10-year nominal cost</t>
  </si>
  <si>
    <t>10-year invested difference</t>
  </si>
  <si>
    <t>Quarter</t>
  </si>
  <si>
    <t>Savings Rate</t>
  </si>
  <si>
    <t>Policy Compliance</t>
  </si>
  <si>
    <t>Net Worth Growth</t>
  </si>
  <si>
    <t>Review Score</t>
  </si>
  <si>
    <t>Q1</t>
  </si>
  <si>
    <t>One improvement action for next quarter</t>
  </si>
  <si>
    <t>Q2</t>
  </si>
  <si>
    <t>Q3</t>
  </si>
  <si>
    <t>Q4</t>
  </si>
  <si>
    <t>Key Metric</t>
  </si>
  <si>
    <t>Source</t>
  </si>
  <si>
    <t>Inputs</t>
  </si>
  <si>
    <t>Current Portfolio (Year 20)</t>
  </si>
  <si>
    <t>FI Tracker</t>
  </si>
  <si>
    <t>FI Progress</t>
  </si>
  <si>
    <t>Real Portfolio (Year 20)</t>
  </si>
  <si>
    <t>Compound Path</t>
  </si>
  <si>
    <t>Withdrawal Sustainable at Year 30</t>
  </si>
  <si>
    <t>Allocation Rebalances Needed</t>
  </si>
  <si>
    <t>Allocation</t>
  </si>
  <si>
    <t>Quarterly Review Average</t>
  </si>
  <si>
    <t>Quarterly Review</t>
  </si>
  <si>
    <t>Focus</t>
  </si>
  <si>
    <t>Teaching Order</t>
  </si>
  <si>
    <t>Primary Outcome</t>
  </si>
  <si>
    <t>Kit Bundle</t>
  </si>
  <si>
    <t>Action To Take</t>
  </si>
  <si>
    <t>Foundation and downside protection</t>
  </si>
  <si>
    <t>1) Protection buffer  2) Employer benefits  3) High-interest debt  4) Emergency runway</t>
  </si>
  <si>
    <t>Vision, cashflow, and risk systems are active and documented.</t>
  </si>
  <si>
    <t>Vision Alignment Kit • Cashflow Autopilot Kit • Emergency and Risk Checklist</t>
  </si>
  <si>
    <t>Lock transfers, finalize family rules, and close safety gaps.</t>
  </si>
  <si>
    <t>Tax-efficient compounding system</t>
  </si>
  <si>
    <t>1) Tax-efficient bucket order  2) Max retirement contributions  3) Protect 25%+ savings rate</t>
  </si>
  <si>
    <t>Tax drag is reduced and policy-based investing is running.</t>
  </si>
  <si>
    <t>Tax Efficiency Planner • Index Policy Builder • Global Allocation Planner</t>
  </si>
  <si>
    <t>Set annual contribution plan and rebalance rules.</t>
  </si>
  <si>
    <t>Decision modeling and resilience</t>
  </si>
  <si>
    <t>1) Pre-fund major goals  2) Run key decision models</t>
  </si>
  <si>
    <t>Withdrawal guardrails and major-decision models are in place.</t>
  </si>
  <si>
    <t>Withdrawal Guardrails Model • Buy vs Rent Model • Education Funding Planner</t>
  </si>
  <si>
    <t>Model upcoming decisions before committing.</t>
  </si>
  <si>
    <t>Optionality and long-range execution</t>
  </si>
  <si>
    <t>1) Build optional corpus  2) Selective debt reduction  3) Quarterly review reset</t>
  </si>
  <si>
    <t>Behavior systems are stable and the next-year roadmap is clear.</t>
  </si>
  <si>
    <t>Behavior Discipline System • Work Optional Design Canvas • Annual Review and Decade Plan</t>
  </si>
  <si>
    <t>Publish the next-year plan and review calendar.</t>
  </si>
  <si>
    <t>Step</t>
  </si>
  <si>
    <t>US Priority</t>
  </si>
  <si>
    <t>US Action</t>
  </si>
  <si>
    <t>India Priority</t>
  </si>
  <si>
    <t>India Action</t>
  </si>
  <si>
    <t>Priority Quarter</t>
  </si>
  <si>
    <t>Kit Tie-In</t>
  </si>
  <si>
    <t>Cover highest deductible and core protection</t>
  </si>
  <si>
    <t>Keep deductible cash and verify health, life, and disability coverage.</t>
  </si>
  <si>
    <t>Set aside deductible + protection buffer</t>
  </si>
  <si>
    <t>Keep deductible cash and verify health cover, top-up, and term insurance.</t>
  </si>
  <si>
    <t>Q1 Emergency and Risk Checklist</t>
  </si>
  <si>
    <t>Capture full employer match</t>
  </si>
  <si>
    <t>Contribute enough to secure all available 401(k)/403(b)/TSP match dollars.</t>
  </si>
  <si>
    <t>Capture employer retirement benefits</t>
  </si>
  <si>
    <t>Secure EPF and employer retirement benefits where applicable.</t>
  </si>
  <si>
    <t>Q1 Cashflow Autopilot + Q2 Tax Efficiency</t>
  </si>
  <si>
    <t>Eliminate high-interest debt</t>
  </si>
  <si>
    <t>Prioritize credit card and high-APR balances before discretionary investing.</t>
  </si>
  <si>
    <t>Clear high-interest debt first</t>
  </si>
  <si>
    <t>Prioritize credit card and personal-loan liabilities.</t>
  </si>
  <si>
    <t>Q1 Cashflow Autopilot</t>
  </si>
  <si>
    <t>Build emergency reserves</t>
  </si>
  <si>
    <t>Target 3-6 months of essentials (6-12 months if income is variable).</t>
  </si>
  <si>
    <t>Build emergency fund runway</t>
  </si>
  <si>
    <t>Target 6-12 months of essential expenses.</t>
  </si>
  <si>
    <t>Fill tax-advantaged buckets first</t>
  </si>
  <si>
    <t>Prioritize Roth IRA, HSA, and eligible backdoor paths before taxable investing.</t>
  </si>
  <si>
    <t>Use tax-efficient buckets in order</t>
  </si>
  <si>
    <t>Prioritize EPF/VPF, PPF, NPS, and ELSS before taxable investing.</t>
  </si>
  <si>
    <t>Q2 Tax Efficiency Planner</t>
  </si>
  <si>
    <t>Max retirement account contributions</t>
  </si>
  <si>
    <t>Increase payroll contributions toward annual retirement limits.</t>
  </si>
  <si>
    <t>Max retirement contributions</t>
  </si>
  <si>
    <t>Raise automated retirement contributions across core buckets.</t>
  </si>
  <si>
    <t>Q2 Tax Efficiency + Q2 Index Policy</t>
  </si>
  <si>
    <t>Reach 25%+ gross savings and investing</t>
  </si>
  <si>
    <t>Automate contributions before lifestyle spending.</t>
  </si>
  <si>
    <t>Protect 25%+ savings and investing rate</t>
  </si>
  <si>
    <t>Automate first and control fixed-cost creep.</t>
  </si>
  <si>
    <t>Q1 Cashflow + Q2 Index Policy</t>
  </si>
  <si>
    <t>Pre-fund major near-term goals</t>
  </si>
  <si>
    <t>Create buckets for down payment, kids, and planned transitions.</t>
  </si>
  <si>
    <t>Pre-fund major goals</t>
  </si>
  <si>
    <t>Create buckets for home down payment, child education, and family goals.</t>
  </si>
  <si>
    <t>Q3 Buy vs Rent + Q3 Education Funding</t>
  </si>
  <si>
    <t>Build flexible taxable wealth + optional debt paydown</t>
  </si>
  <si>
    <t>Direct surplus to low-cost index investing and selective low-rate debt reduction.</t>
  </si>
  <si>
    <t>Build optional corpus + selective debt reduction</t>
  </si>
  <si>
    <t>Direct surplus to diversified index/debt funds and strategic home-loan prepayment.</t>
  </si>
  <si>
    <t>Q3 Withdrawal Guardrails + Q4 Annual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</si>
</sst>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1F2A37"/>
    </font>
  </fonts>
  <fills count="3">
    <fill>
      <patternFill patternType="none"/>
    </fill>
    <fill>
      <patternFill patternType="gray125"/>
    </fill>
    <fill>
      <patternFill patternType="solid">
        <fgColor rgb="FF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0" customWidth="1"/>
    <col min="3" max="3" width="4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3">
        <v>150000</v>
      </c>
      <c r="C2" s="2" t="s">
        <v>4</v>
      </c>
    </row>
    <row r="3" spans="1:3" s="2" customFormat="1" x14ac:dyDescent="0.25">
      <c r="A3" s="2" t="s">
        <v>5</v>
      </c>
      <c r="B3" s="4">
        <v>0.3</v>
      </c>
      <c r="C3" s="2" t="s">
        <v>6</v>
      </c>
    </row>
    <row r="4" spans="1:3" s="2" customFormat="1" x14ac:dyDescent="0.25">
      <c r="A4" s="2" t="s">
        <v>7</v>
      </c>
      <c r="B4" s="3">
        <f>B2*B3</f>
      </c>
      <c r="C4" s="2" t="s">
        <v>8</v>
      </c>
    </row>
    <row r="5" spans="1:3" s="2" customFormat="1" x14ac:dyDescent="0.25">
      <c r="A5" s="2" t="s">
        <v>9</v>
      </c>
      <c r="B5" s="3">
        <v>250000</v>
      </c>
      <c r="C5" s="2" t="s">
        <v>10</v>
      </c>
    </row>
    <row r="6" spans="1:3" s="2" customFormat="1" x14ac:dyDescent="0.25">
      <c r="A6" s="2" t="s">
        <v>11</v>
      </c>
      <c r="B6" s="3">
        <v>90000</v>
      </c>
      <c r="C6" s="2" t="s">
        <v>12</v>
      </c>
    </row>
    <row r="7" spans="1:3" s="2" customFormat="1" x14ac:dyDescent="0.25">
      <c r="A7" s="2" t="s">
        <v>13</v>
      </c>
      <c r="B7" s="4">
        <v>0.04</v>
      </c>
      <c r="C7" s="2" t="s">
        <v>14</v>
      </c>
    </row>
    <row r="8" spans="1:3" s="2" customFormat="1" x14ac:dyDescent="0.25">
      <c r="A8" s="2" t="s">
        <v>15</v>
      </c>
      <c r="B8" s="3">
        <f>B6/B7</f>
      </c>
      <c r="C8" s="2" t="s">
        <v>16</v>
      </c>
    </row>
    <row r="9" spans="1:3" s="2" customFormat="1" x14ac:dyDescent="0.25">
      <c r="A9" s="2" t="s">
        <v>17</v>
      </c>
      <c r="B9" s="4">
        <v>0.075</v>
      </c>
      <c r="C9" s="2" t="s">
        <v>18</v>
      </c>
    </row>
    <row r="10" spans="1:3" s="2" customFormat="1" x14ac:dyDescent="0.25">
      <c r="A10" s="2" t="s">
        <v>19</v>
      </c>
      <c r="B10" s="4">
        <v>0.03</v>
      </c>
      <c r="C10" s="2" t="s">
        <v>20</v>
      </c>
    </row>
    <row r="11" spans="1:3" s="2" customFormat="1" x14ac:dyDescent="0.25">
      <c r="A11" s="2" t="s">
        <v>21</v>
      </c>
      <c r="B11" s="4">
        <f>(1+B9)/(1+B10)-1</f>
      </c>
      <c r="C11" s="2" t="s">
        <v>22</v>
      </c>
    </row>
    <row r="12" spans="1:3" s="2" customFormat="1" x14ac:dyDescent="0.25">
      <c r="A12" s="2" t="s">
        <v>23</v>
      </c>
      <c r="B12" s="3">
        <v>20</v>
      </c>
      <c r="C12" s="2" t="s">
        <v>24</v>
      </c>
    </row>
    <row r="13" spans="1:3" s="2" customFormat="1" x14ac:dyDescent="0.25">
      <c r="A13" s="2" t="s">
        <v>25</v>
      </c>
      <c r="B13" s="3">
        <v>90000</v>
      </c>
      <c r="C13" s="2" t="s">
        <v>26</v>
      </c>
    </row>
    <row r="14" spans="1:3" s="2" customFormat="1" x14ac:dyDescent="0.25">
      <c r="A14" s="2" t="s">
        <v>27</v>
      </c>
      <c r="B14" s="3">
        <v>36000</v>
      </c>
      <c r="C14" s="2" t="s">
        <v>28</v>
      </c>
    </row>
    <row r="15" spans="1:3" s="2" customFormat="1" x14ac:dyDescent="0.25">
      <c r="A15" s="2" t="s">
        <v>29</v>
      </c>
      <c r="B15" s="2">
        <v>30000</v>
      </c>
      <c r="C15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3" width="18" customWidth="1"/>
    <col min="4" max="4" width="14" customWidth="1"/>
    <col min="5" max="5" width="34" customWidth="1"/>
  </cols>
  <sheetData>
    <row r="1" spans="1:5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2</v>
      </c>
    </row>
    <row r="2" spans="1:5" s="2" customFormat="1" x14ac:dyDescent="0.25">
      <c r="A2" s="2" t="s">
        <v>35</v>
      </c>
      <c r="B2" s="3">
        <f>'00_Inputs'!B2</f>
      </c>
      <c r="C2" s="3">
        <f>B2/12</f>
      </c>
      <c r="D2" s="4">
        <v>1</v>
      </c>
      <c r="E2" s="2" t="s">
        <v>36</v>
      </c>
    </row>
    <row r="3" spans="1:5" s="2" customFormat="1" x14ac:dyDescent="0.25">
      <c r="A3" s="2" t="s">
        <v>37</v>
      </c>
      <c r="B3" s="3">
        <f>'00_Inputs'!B4</f>
      </c>
      <c r="C3" s="3">
        <f>B3/12</f>
      </c>
      <c r="D3" s="4">
        <f>B3/B2</f>
      </c>
      <c r="E3" s="2" t="s">
        <v>38</v>
      </c>
    </row>
    <row r="4" spans="1:5" s="2" customFormat="1" x14ac:dyDescent="0.25">
      <c r="A4" s="2" t="s">
        <v>39</v>
      </c>
      <c r="B4" s="3">
        <f>B2*0.42</f>
      </c>
      <c r="C4" s="3">
        <f>B4/12</f>
      </c>
      <c r="D4" s="4">
        <f>B4/B2</f>
      </c>
      <c r="E4" s="2" t="s">
        <v>40</v>
      </c>
    </row>
    <row r="5" spans="1:5" s="2" customFormat="1" x14ac:dyDescent="0.25">
      <c r="A5" s="2" t="s">
        <v>41</v>
      </c>
      <c r="B5" s="3">
        <f>B2*0.18</f>
      </c>
      <c r="C5" s="3">
        <f>B5/12</f>
      </c>
      <c r="D5" s="4">
        <f>B5/B2</f>
      </c>
      <c r="E5" s="2" t="s">
        <v>42</v>
      </c>
    </row>
    <row r="6" spans="1:5" s="2" customFormat="1" x14ac:dyDescent="0.25">
      <c r="A6" s="2" t="s">
        <v>43</v>
      </c>
      <c r="B6" s="3">
        <f>B2-B3-B4-B5</f>
      </c>
      <c r="C6" s="3">
        <f>B6/12</f>
      </c>
      <c r="D6" s="4">
        <f>B6/B2</f>
      </c>
      <c r="E6" s="2" t="s">
        <v>44</v>
      </c>
    </row>
    <row r="7" spans="1:5" s="2" customFormat="1" x14ac:dyDescent="0.25">
      <c r="A7" s="2" t="s">
        <v>45</v>
      </c>
      <c r="B7" s="4">
        <f>B3/B2</f>
      </c>
      <c r="C7" s="2" t="s">
        <v>46</v>
      </c>
      <c r="D7" s="4">
        <f>B3/B2</f>
      </c>
      <c r="E7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4" width="16" customWidth="1"/>
    <col min="5" max="5" width="20" customWidth="1"/>
    <col min="6" max="6" width="18" customWidth="1"/>
    <col min="7" max="7" width="16" customWidth="1"/>
  </cols>
  <sheetData>
    <row r="1" spans="1:7" s="1" customFormat="1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s="2" customFormat="1" x14ac:dyDescent="0.25">
      <c r="A2" s="2">
        <v>0</v>
      </c>
      <c r="B2" s="3">
        <f>'00_Inputs'!B5</f>
      </c>
      <c r="C2" s="3">
        <f>'00_Inputs'!B4</f>
      </c>
      <c r="D2" s="3">
        <v>0</v>
      </c>
      <c r="E2" s="3">
        <f>B2+C2+D2</f>
      </c>
      <c r="F2" s="3">
        <f>'00_Inputs'!B8</f>
      </c>
      <c r="G2" s="4">
        <f>E2/F2</f>
      </c>
    </row>
    <row r="3" spans="1:7" s="2" customFormat="1" x14ac:dyDescent="0.25">
      <c r="A3" s="2">
        <f>A2+1</f>
      </c>
      <c r="B3" s="3">
        <f>E2</f>
      </c>
      <c r="C3" s="3">
        <f>'00_Inputs'!B4</f>
      </c>
      <c r="D3" s="3">
        <f>B3*'00_Inputs'!B9</f>
      </c>
      <c r="E3" s="3">
        <f>B3+C3+D3</f>
      </c>
      <c r="F3" s="3">
        <f>'00_Inputs'!B8</f>
      </c>
      <c r="G3" s="4">
        <f>E3/F3</f>
      </c>
    </row>
    <row r="4" spans="1:7" s="2" customFormat="1" x14ac:dyDescent="0.25">
      <c r="A4" s="2">
        <f>A3+1</f>
      </c>
      <c r="B4" s="3">
        <f>E3</f>
      </c>
      <c r="C4" s="3">
        <f>'00_Inputs'!B4</f>
      </c>
      <c r="D4" s="3">
        <f>B4*'00_Inputs'!B9</f>
      </c>
      <c r="E4" s="3">
        <f>B4+C4+D4</f>
      </c>
      <c r="F4" s="3">
        <f>'00_Inputs'!B8</f>
      </c>
      <c r="G4" s="4">
        <f>E4/F4</f>
      </c>
    </row>
    <row r="5" spans="1:7" s="2" customFormat="1" x14ac:dyDescent="0.25">
      <c r="A5" s="2">
        <f>A4+1</f>
      </c>
      <c r="B5" s="3">
        <f>E4</f>
      </c>
      <c r="C5" s="3">
        <f>'00_Inputs'!B4</f>
      </c>
      <c r="D5" s="3">
        <f>B5*'00_Inputs'!B9</f>
      </c>
      <c r="E5" s="3">
        <f>B5+C5+D5</f>
      </c>
      <c r="F5" s="3">
        <f>'00_Inputs'!B8</f>
      </c>
      <c r="G5" s="4">
        <f>E5/F5</f>
      </c>
    </row>
    <row r="6" spans="1:7" s="2" customFormat="1" x14ac:dyDescent="0.25">
      <c r="A6" s="2">
        <f>A5+1</f>
      </c>
      <c r="B6" s="3">
        <f>E5</f>
      </c>
      <c r="C6" s="3">
        <f>'00_Inputs'!B4</f>
      </c>
      <c r="D6" s="3">
        <f>B6*'00_Inputs'!B9</f>
      </c>
      <c r="E6" s="3">
        <f>B6+C6+D6</f>
      </c>
      <c r="F6" s="3">
        <f>'00_Inputs'!B8</f>
      </c>
      <c r="G6" s="4">
        <f>E6/F6</f>
      </c>
    </row>
    <row r="7" spans="1:7" s="2" customFormat="1" x14ac:dyDescent="0.25">
      <c r="A7" s="2">
        <f>A6+1</f>
      </c>
      <c r="B7" s="3">
        <f>E6</f>
      </c>
      <c r="C7" s="3">
        <f>'00_Inputs'!B4</f>
      </c>
      <c r="D7" s="3">
        <f>B7*'00_Inputs'!B9</f>
      </c>
      <c r="E7" s="3">
        <f>B7+C7+D7</f>
      </c>
      <c r="F7" s="3">
        <f>'00_Inputs'!B8</f>
      </c>
      <c r="G7" s="4">
        <f>E7/F7</f>
      </c>
    </row>
    <row r="8" spans="1:7" s="2" customFormat="1" x14ac:dyDescent="0.25">
      <c r="A8" s="2">
        <f>A7+1</f>
      </c>
      <c r="B8" s="3">
        <f>E7</f>
      </c>
      <c r="C8" s="3">
        <f>'00_Inputs'!B4</f>
      </c>
      <c r="D8" s="3">
        <f>B8*'00_Inputs'!B9</f>
      </c>
      <c r="E8" s="3">
        <f>B8+C8+D8</f>
      </c>
      <c r="F8" s="3">
        <f>'00_Inputs'!B8</f>
      </c>
      <c r="G8" s="4">
        <f>E8/F8</f>
      </c>
    </row>
    <row r="9" spans="1:7" s="2" customFormat="1" x14ac:dyDescent="0.25">
      <c r="A9" s="2">
        <f>A8+1</f>
      </c>
      <c r="B9" s="3">
        <f>E8</f>
      </c>
      <c r="C9" s="3">
        <f>'00_Inputs'!B4</f>
      </c>
      <c r="D9" s="3">
        <f>B9*'00_Inputs'!B9</f>
      </c>
      <c r="E9" s="3">
        <f>B9+C9+D9</f>
      </c>
      <c r="F9" s="3">
        <f>'00_Inputs'!B8</f>
      </c>
      <c r="G9" s="4">
        <f>E9/F9</f>
      </c>
    </row>
    <row r="10" spans="1:7" s="2" customFormat="1" x14ac:dyDescent="0.25">
      <c r="A10" s="2">
        <f>A9+1</f>
      </c>
      <c r="B10" s="3">
        <f>E9</f>
      </c>
      <c r="C10" s="3">
        <f>'00_Inputs'!B4</f>
      </c>
      <c r="D10" s="3">
        <f>B10*'00_Inputs'!B9</f>
      </c>
      <c r="E10" s="3">
        <f>B10+C10+D10</f>
      </c>
      <c r="F10" s="3">
        <f>'00_Inputs'!B8</f>
      </c>
      <c r="G10" s="4">
        <f>E10/F10</f>
      </c>
    </row>
    <row r="11" spans="1:7" s="2" customFormat="1" x14ac:dyDescent="0.25">
      <c r="A11" s="2">
        <f>A10+1</f>
      </c>
      <c r="B11" s="3">
        <f>E10</f>
      </c>
      <c r="C11" s="3">
        <f>'00_Inputs'!B4</f>
      </c>
      <c r="D11" s="3">
        <f>B11*'00_Inputs'!B9</f>
      </c>
      <c r="E11" s="3">
        <f>B11+C11+D11</f>
      </c>
      <c r="F11" s="3">
        <f>'00_Inputs'!B8</f>
      </c>
      <c r="G11" s="4">
        <f>E11/F11</f>
      </c>
    </row>
    <row r="12" spans="1:7" s="2" customFormat="1" x14ac:dyDescent="0.25">
      <c r="A12" s="2">
        <f>A11+1</f>
      </c>
      <c r="B12" s="3">
        <f>E11</f>
      </c>
      <c r="C12" s="3">
        <f>'00_Inputs'!B4</f>
      </c>
      <c r="D12" s="3">
        <f>B12*'00_Inputs'!B9</f>
      </c>
      <c r="E12" s="3">
        <f>B12+C12+D12</f>
      </c>
      <c r="F12" s="3">
        <f>'00_Inputs'!B8</f>
      </c>
      <c r="G12" s="4">
        <f>E12/F12</f>
      </c>
    </row>
    <row r="13" spans="1:7" s="2" customFormat="1" x14ac:dyDescent="0.25">
      <c r="A13" s="2">
        <f>A12+1</f>
      </c>
      <c r="B13" s="3">
        <f>E12</f>
      </c>
      <c r="C13" s="3">
        <f>'00_Inputs'!B4</f>
      </c>
      <c r="D13" s="3">
        <f>B13*'00_Inputs'!B9</f>
      </c>
      <c r="E13" s="3">
        <f>B13+C13+D13</f>
      </c>
      <c r="F13" s="3">
        <f>'00_Inputs'!B8</f>
      </c>
      <c r="G13" s="4">
        <f>E13/F13</f>
      </c>
    </row>
    <row r="14" spans="1:7" s="2" customFormat="1" x14ac:dyDescent="0.25">
      <c r="A14" s="2">
        <f>A13+1</f>
      </c>
      <c r="B14" s="3">
        <f>E13</f>
      </c>
      <c r="C14" s="3">
        <f>'00_Inputs'!B4</f>
      </c>
      <c r="D14" s="3">
        <f>B14*'00_Inputs'!B9</f>
      </c>
      <c r="E14" s="3">
        <f>B14+C14+D14</f>
      </c>
      <c r="F14" s="3">
        <f>'00_Inputs'!B8</f>
      </c>
      <c r="G14" s="4">
        <f>E14/F14</f>
      </c>
    </row>
    <row r="15" spans="1:7" s="2" customFormat="1" x14ac:dyDescent="0.25">
      <c r="A15" s="2">
        <f>A14+1</f>
      </c>
      <c r="B15" s="3">
        <f>E14</f>
      </c>
      <c r="C15" s="3">
        <f>'00_Inputs'!B4</f>
      </c>
      <c r="D15" s="3">
        <f>B15*'00_Inputs'!B9</f>
      </c>
      <c r="E15" s="3">
        <f>B15+C15+D15</f>
      </c>
      <c r="F15" s="3">
        <f>'00_Inputs'!B8</f>
      </c>
      <c r="G15" s="4">
        <f>E15/F15</f>
      </c>
    </row>
    <row r="16" spans="1:7" s="2" customFormat="1" x14ac:dyDescent="0.25">
      <c r="A16" s="2">
        <f>A15+1</f>
      </c>
      <c r="B16" s="3">
        <f>E15</f>
      </c>
      <c r="C16" s="3">
        <f>'00_Inputs'!B4</f>
      </c>
      <c r="D16" s="3">
        <f>B16*'00_Inputs'!B9</f>
      </c>
      <c r="E16" s="3">
        <f>B16+C16+D16</f>
      </c>
      <c r="F16" s="3">
        <f>'00_Inputs'!B8</f>
      </c>
      <c r="G16" s="4">
        <f>E16/F16</f>
      </c>
    </row>
    <row r="17" spans="1:7" s="2" customFormat="1" x14ac:dyDescent="0.25">
      <c r="A17" s="2">
        <f>A16+1</f>
      </c>
      <c r="B17" s="3">
        <f>E16</f>
      </c>
      <c r="C17" s="3">
        <f>'00_Inputs'!B4</f>
      </c>
      <c r="D17" s="3">
        <f>B17*'00_Inputs'!B9</f>
      </c>
      <c r="E17" s="3">
        <f>B17+C17+D17</f>
      </c>
      <c r="F17" s="3">
        <f>'00_Inputs'!B8</f>
      </c>
      <c r="G17" s="4">
        <f>E17/F17</f>
      </c>
    </row>
    <row r="18" spans="1:7" s="2" customFormat="1" x14ac:dyDescent="0.25">
      <c r="A18" s="2">
        <f>A17+1</f>
      </c>
      <c r="B18" s="3">
        <f>E17</f>
      </c>
      <c r="C18" s="3">
        <f>'00_Inputs'!B4</f>
      </c>
      <c r="D18" s="3">
        <f>B18*'00_Inputs'!B9</f>
      </c>
      <c r="E18" s="3">
        <f>B18+C18+D18</f>
      </c>
      <c r="F18" s="3">
        <f>'00_Inputs'!B8</f>
      </c>
      <c r="G18" s="4">
        <f>E18/F18</f>
      </c>
    </row>
    <row r="19" spans="1:7" s="2" customFormat="1" x14ac:dyDescent="0.25">
      <c r="A19" s="2">
        <f>A18+1</f>
      </c>
      <c r="B19" s="3">
        <f>E18</f>
      </c>
      <c r="C19" s="3">
        <f>'00_Inputs'!B4</f>
      </c>
      <c r="D19" s="3">
        <f>B19*'00_Inputs'!B9</f>
      </c>
      <c r="E19" s="3">
        <f>B19+C19+D19</f>
      </c>
      <c r="F19" s="3">
        <f>'00_Inputs'!B8</f>
      </c>
      <c r="G19" s="4">
        <f>E19/F19</f>
      </c>
    </row>
    <row r="20" spans="1:7" s="2" customFormat="1" x14ac:dyDescent="0.25">
      <c r="A20" s="2">
        <f>A19+1</f>
      </c>
      <c r="B20" s="3">
        <f>E19</f>
      </c>
      <c r="C20" s="3">
        <f>'00_Inputs'!B4</f>
      </c>
      <c r="D20" s="3">
        <f>B20*'00_Inputs'!B9</f>
      </c>
      <c r="E20" s="3">
        <f>B20+C20+D20</f>
      </c>
      <c r="F20" s="3">
        <f>'00_Inputs'!B8</f>
      </c>
      <c r="G20" s="4">
        <f>E20/F20</f>
      </c>
    </row>
    <row r="21" spans="1:7" s="2" customFormat="1" x14ac:dyDescent="0.25">
      <c r="A21" s="2">
        <f>A20+1</f>
      </c>
      <c r="B21" s="3">
        <f>E20</f>
      </c>
      <c r="C21" s="3">
        <f>'00_Inputs'!B4</f>
      </c>
      <c r="D21" s="3">
        <f>B21*'00_Inputs'!B9</f>
      </c>
      <c r="E21" s="3">
        <f>B21+C21+D21</f>
      </c>
      <c r="F21" s="3">
        <f>'00_Inputs'!B8</f>
      </c>
      <c r="G21" s="4">
        <f>E21/F21</f>
      </c>
    </row>
    <row r="22" spans="1:7" s="2" customFormat="1" x14ac:dyDescent="0.25">
      <c r="A22" s="2">
        <f>A21+1</f>
      </c>
      <c r="B22" s="3">
        <f>E21</f>
      </c>
      <c r="C22" s="3">
        <f>'00_Inputs'!B4</f>
      </c>
      <c r="D22" s="3">
        <f>B22*'00_Inputs'!B9</f>
      </c>
      <c r="E22" s="3">
        <f>B22+C22+D22</f>
      </c>
      <c r="F22" s="3">
        <f>'00_Inputs'!B8</f>
      </c>
      <c r="G22" s="4">
        <f>E22/F22</f>
      </c>
    </row>
    <row r="23" spans="1:7" s="2" customFormat="1" x14ac:dyDescent="0.25">
      <c r="A23" s="2">
        <f>A22+1</f>
      </c>
      <c r="B23" s="3">
        <f>E22</f>
      </c>
      <c r="C23" s="3">
        <f>'00_Inputs'!B4</f>
      </c>
      <c r="D23" s="3">
        <f>B23*'00_Inputs'!B9</f>
      </c>
      <c r="E23" s="3">
        <f>B23+C23+D23</f>
      </c>
      <c r="F23" s="3">
        <f>'00_Inputs'!B8</f>
      </c>
      <c r="G23" s="4">
        <f>E23/F23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20" customWidth="1"/>
    <col min="4" max="4" width="16" customWidth="1"/>
    <col min="5" max="6" width="20" customWidth="1"/>
  </cols>
  <sheetData>
    <row r="1" spans="1:6" s="1" customFormat="1" x14ac:dyDescent="0.25">
      <c r="A1" s="1" t="s">
        <v>48</v>
      </c>
      <c r="B1" s="1" t="s">
        <v>55</v>
      </c>
      <c r="C1" s="1" t="s">
        <v>56</v>
      </c>
      <c r="D1" s="1" t="s">
        <v>51</v>
      </c>
      <c r="E1" s="1" t="s">
        <v>57</v>
      </c>
      <c r="F1" s="1" t="s">
        <v>58</v>
      </c>
    </row>
    <row r="2" spans="1:6" s="2" customFormat="1" x14ac:dyDescent="0.25">
      <c r="A2" s="2">
        <v>0</v>
      </c>
      <c r="B2" s="3">
        <f>'00_Inputs'!B5</f>
      </c>
      <c r="C2" s="3">
        <f>'00_Inputs'!B4</f>
      </c>
      <c r="D2" s="3">
        <v>0</v>
      </c>
      <c r="E2" s="3">
        <f>B2+C2+D2</f>
      </c>
      <c r="F2" s="3">
        <f>E2</f>
      </c>
    </row>
    <row r="3" spans="1:6" s="2" customFormat="1" x14ac:dyDescent="0.25">
      <c r="A3" s="2">
        <f>A2+1</f>
      </c>
      <c r="B3" s="3">
        <f>E2</f>
      </c>
      <c r="C3" s="3">
        <f>'00_Inputs'!B4</f>
      </c>
      <c r="D3" s="3">
        <f>B3*'00_Inputs'!B9</f>
      </c>
      <c r="E3" s="3">
        <f>B3+C3+D3</f>
      </c>
      <c r="F3" s="3">
        <f>E3/((1+'00_Inputs'!B10)^A3)</f>
      </c>
    </row>
    <row r="4" spans="1:6" s="2" customFormat="1" x14ac:dyDescent="0.25">
      <c r="A4" s="2">
        <f>A3+1</f>
      </c>
      <c r="B4" s="3">
        <f>E3</f>
      </c>
      <c r="C4" s="3">
        <f>'00_Inputs'!B4</f>
      </c>
      <c r="D4" s="3">
        <f>B4*'00_Inputs'!B9</f>
      </c>
      <c r="E4" s="3">
        <f>B4+C4+D4</f>
      </c>
      <c r="F4" s="3">
        <f>E4/((1+'00_Inputs'!B10)^A4)</f>
      </c>
    </row>
    <row r="5" spans="1:6" s="2" customFormat="1" x14ac:dyDescent="0.25">
      <c r="A5" s="2">
        <f>A4+1</f>
      </c>
      <c r="B5" s="3">
        <f>E4</f>
      </c>
      <c r="C5" s="3">
        <f>'00_Inputs'!B4</f>
      </c>
      <c r="D5" s="3">
        <f>B5*'00_Inputs'!B9</f>
      </c>
      <c r="E5" s="3">
        <f>B5+C5+D5</f>
      </c>
      <c r="F5" s="3">
        <f>E5/((1+'00_Inputs'!B10)^A5)</f>
      </c>
    </row>
    <row r="6" spans="1:6" s="2" customFormat="1" x14ac:dyDescent="0.25">
      <c r="A6" s="2">
        <f>A5+1</f>
      </c>
      <c r="B6" s="3">
        <f>E5</f>
      </c>
      <c r="C6" s="3">
        <f>'00_Inputs'!B4</f>
      </c>
      <c r="D6" s="3">
        <f>B6*'00_Inputs'!B9</f>
      </c>
      <c r="E6" s="3">
        <f>B6+C6+D6</f>
      </c>
      <c r="F6" s="3">
        <f>E6/((1+'00_Inputs'!B10)^A6)</f>
      </c>
    </row>
    <row r="7" spans="1:6" s="2" customFormat="1" x14ac:dyDescent="0.25">
      <c r="A7" s="2">
        <f>A6+1</f>
      </c>
      <c r="B7" s="3">
        <f>E6</f>
      </c>
      <c r="C7" s="3">
        <f>'00_Inputs'!B4</f>
      </c>
      <c r="D7" s="3">
        <f>B7*'00_Inputs'!B9</f>
      </c>
      <c r="E7" s="3">
        <f>B7+C7+D7</f>
      </c>
      <c r="F7" s="3">
        <f>E7/((1+'00_Inputs'!B10)^A7)</f>
      </c>
    </row>
    <row r="8" spans="1:6" s="2" customFormat="1" x14ac:dyDescent="0.25">
      <c r="A8" s="2">
        <f>A7+1</f>
      </c>
      <c r="B8" s="3">
        <f>E7</f>
      </c>
      <c r="C8" s="3">
        <f>'00_Inputs'!B4</f>
      </c>
      <c r="D8" s="3">
        <f>B8*'00_Inputs'!B9</f>
      </c>
      <c r="E8" s="3">
        <f>B8+C8+D8</f>
      </c>
      <c r="F8" s="3">
        <f>E8/((1+'00_Inputs'!B10)^A8)</f>
      </c>
    </row>
    <row r="9" spans="1:6" s="2" customFormat="1" x14ac:dyDescent="0.25">
      <c r="A9" s="2">
        <f>A8+1</f>
      </c>
      <c r="B9" s="3">
        <f>E8</f>
      </c>
      <c r="C9" s="3">
        <f>'00_Inputs'!B4</f>
      </c>
      <c r="D9" s="3">
        <f>B9*'00_Inputs'!B9</f>
      </c>
      <c r="E9" s="3">
        <f>B9+C9+D9</f>
      </c>
      <c r="F9" s="3">
        <f>E9/((1+'00_Inputs'!B10)^A9)</f>
      </c>
    </row>
    <row r="10" spans="1:6" s="2" customFormat="1" x14ac:dyDescent="0.25">
      <c r="A10" s="2">
        <f>A9+1</f>
      </c>
      <c r="B10" s="3">
        <f>E9</f>
      </c>
      <c r="C10" s="3">
        <f>'00_Inputs'!B4</f>
      </c>
      <c r="D10" s="3">
        <f>B10*'00_Inputs'!B9</f>
      </c>
      <c r="E10" s="3">
        <f>B10+C10+D10</f>
      </c>
      <c r="F10" s="3">
        <f>E10/((1+'00_Inputs'!B10)^A10)</f>
      </c>
    </row>
    <row r="11" spans="1:6" s="2" customFormat="1" x14ac:dyDescent="0.25">
      <c r="A11" s="2">
        <f>A10+1</f>
      </c>
      <c r="B11" s="3">
        <f>E10</f>
      </c>
      <c r="C11" s="3">
        <f>'00_Inputs'!B4</f>
      </c>
      <c r="D11" s="3">
        <f>B11*'00_Inputs'!B9</f>
      </c>
      <c r="E11" s="3">
        <f>B11+C11+D11</f>
      </c>
      <c r="F11" s="3">
        <f>E11/((1+'00_Inputs'!B10)^A11)</f>
      </c>
    </row>
    <row r="12" spans="1:6" s="2" customFormat="1" x14ac:dyDescent="0.25">
      <c r="A12" s="2">
        <f>A11+1</f>
      </c>
      <c r="B12" s="3">
        <f>E11</f>
      </c>
      <c r="C12" s="3">
        <f>'00_Inputs'!B4</f>
      </c>
      <c r="D12" s="3">
        <f>B12*'00_Inputs'!B9</f>
      </c>
      <c r="E12" s="3">
        <f>B12+C12+D12</f>
      </c>
      <c r="F12" s="3">
        <f>E12/((1+'00_Inputs'!B10)^A12)</f>
      </c>
    </row>
    <row r="13" spans="1:6" s="2" customFormat="1" x14ac:dyDescent="0.25">
      <c r="A13" s="2">
        <f>A12+1</f>
      </c>
      <c r="B13" s="3">
        <f>E12</f>
      </c>
      <c r="C13" s="3">
        <f>'00_Inputs'!B4</f>
      </c>
      <c r="D13" s="3">
        <f>B13*'00_Inputs'!B9</f>
      </c>
      <c r="E13" s="3">
        <f>B13+C13+D13</f>
      </c>
      <c r="F13" s="3">
        <f>E13/((1+'00_Inputs'!B10)^A13)</f>
      </c>
    </row>
    <row r="14" spans="1:6" s="2" customFormat="1" x14ac:dyDescent="0.25">
      <c r="A14" s="2">
        <f>A13+1</f>
      </c>
      <c r="B14" s="3">
        <f>E13</f>
      </c>
      <c r="C14" s="3">
        <f>'00_Inputs'!B4</f>
      </c>
      <c r="D14" s="3">
        <f>B14*'00_Inputs'!B9</f>
      </c>
      <c r="E14" s="3">
        <f>B14+C14+D14</f>
      </c>
      <c r="F14" s="3">
        <f>E14/((1+'00_Inputs'!B10)^A14)</f>
      </c>
    </row>
    <row r="15" spans="1:6" s="2" customFormat="1" x14ac:dyDescent="0.25">
      <c r="A15" s="2">
        <f>A14+1</f>
      </c>
      <c r="B15" s="3">
        <f>E14</f>
      </c>
      <c r="C15" s="3">
        <f>'00_Inputs'!B4</f>
      </c>
      <c r="D15" s="3">
        <f>B15*'00_Inputs'!B9</f>
      </c>
      <c r="E15" s="3">
        <f>B15+C15+D15</f>
      </c>
      <c r="F15" s="3">
        <f>E15/((1+'00_Inputs'!B10)^A15)</f>
      </c>
    </row>
    <row r="16" spans="1:6" s="2" customFormat="1" x14ac:dyDescent="0.25">
      <c r="A16" s="2">
        <f>A15+1</f>
      </c>
      <c r="B16" s="3">
        <f>E15</f>
      </c>
      <c r="C16" s="3">
        <f>'00_Inputs'!B4</f>
      </c>
      <c r="D16" s="3">
        <f>B16*'00_Inputs'!B9</f>
      </c>
      <c r="E16" s="3">
        <f>B16+C16+D16</f>
      </c>
      <c r="F16" s="3">
        <f>E16/((1+'00_Inputs'!B10)^A16)</f>
      </c>
    </row>
    <row r="17" spans="1:6" s="2" customFormat="1" x14ac:dyDescent="0.25">
      <c r="A17" s="2">
        <f>A16+1</f>
      </c>
      <c r="B17" s="3">
        <f>E16</f>
      </c>
      <c r="C17" s="3">
        <f>'00_Inputs'!B4</f>
      </c>
      <c r="D17" s="3">
        <f>B17*'00_Inputs'!B9</f>
      </c>
      <c r="E17" s="3">
        <f>B17+C17+D17</f>
      </c>
      <c r="F17" s="3">
        <f>E17/((1+'00_Inputs'!B10)^A17)</f>
      </c>
    </row>
    <row r="18" spans="1:6" s="2" customFormat="1" x14ac:dyDescent="0.25">
      <c r="A18" s="2">
        <f>A17+1</f>
      </c>
      <c r="B18" s="3">
        <f>E17</f>
      </c>
      <c r="C18" s="3">
        <f>'00_Inputs'!B4</f>
      </c>
      <c r="D18" s="3">
        <f>B18*'00_Inputs'!B9</f>
      </c>
      <c r="E18" s="3">
        <f>B18+C18+D18</f>
      </c>
      <c r="F18" s="3">
        <f>E18/((1+'00_Inputs'!B10)^A18)</f>
      </c>
    </row>
    <row r="19" spans="1:6" s="2" customFormat="1" x14ac:dyDescent="0.25">
      <c r="A19" s="2">
        <f>A18+1</f>
      </c>
      <c r="B19" s="3">
        <f>E18</f>
      </c>
      <c r="C19" s="3">
        <f>'00_Inputs'!B4</f>
      </c>
      <c r="D19" s="3">
        <f>B19*'00_Inputs'!B9</f>
      </c>
      <c r="E19" s="3">
        <f>B19+C19+D19</f>
      </c>
      <c r="F19" s="3">
        <f>E19/((1+'00_Inputs'!B10)^A19)</f>
      </c>
    </row>
    <row r="20" spans="1:6" s="2" customFormat="1" x14ac:dyDescent="0.25">
      <c r="A20" s="2">
        <f>A19+1</f>
      </c>
      <c r="B20" s="3">
        <f>E19</f>
      </c>
      <c r="C20" s="3">
        <f>'00_Inputs'!B4</f>
      </c>
      <c r="D20" s="3">
        <f>B20*'00_Inputs'!B9</f>
      </c>
      <c r="E20" s="3">
        <f>B20+C20+D20</f>
      </c>
      <c r="F20" s="3">
        <f>E20/((1+'00_Inputs'!B10)^A20)</f>
      </c>
    </row>
    <row r="21" spans="1:6" s="2" customFormat="1" x14ac:dyDescent="0.25">
      <c r="A21" s="2">
        <f>A20+1</f>
      </c>
      <c r="B21" s="3">
        <f>E20</f>
      </c>
      <c r="C21" s="3">
        <f>'00_Inputs'!B4</f>
      </c>
      <c r="D21" s="3">
        <f>B21*'00_Inputs'!B9</f>
      </c>
      <c r="E21" s="3">
        <f>B21+C21+D21</f>
      </c>
      <c r="F21" s="3">
        <f>E21/((1+'00_Inputs'!B10)^A21)</f>
      </c>
    </row>
    <row r="22" spans="1:6" s="2" customFormat="1" x14ac:dyDescent="0.25">
      <c r="A22" s="2">
        <f>A21+1</f>
      </c>
      <c r="B22" s="3">
        <f>E21</f>
      </c>
      <c r="C22" s="3">
        <f>'00_Inputs'!B4</f>
      </c>
      <c r="D22" s="3">
        <f>B22*'00_Inputs'!B9</f>
      </c>
      <c r="E22" s="3">
        <f>B22+C22+D22</f>
      </c>
      <c r="F22" s="3">
        <f>E22/((1+'00_Inputs'!B10)^A22)</f>
      </c>
    </row>
    <row r="23" spans="1:6" s="2" customFormat="1" x14ac:dyDescent="0.25">
      <c r="A23" s="2">
        <f>A22+1</f>
      </c>
      <c r="B23" s="3">
        <f>E22</f>
      </c>
      <c r="C23" s="3">
        <f>'00_Inputs'!B4</f>
      </c>
      <c r="D23" s="3">
        <f>B23*'00_Inputs'!B9</f>
      </c>
      <c r="E23" s="3">
        <f>B23+C23+D23</f>
      </c>
      <c r="F23" s="3">
        <f>E23/((1+'00_Inputs'!B10)^A23)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4" width="16" customWidth="1"/>
    <col min="5" max="5" width="20" customWidth="1"/>
    <col min="6" max="6" width="16" customWidth="1"/>
  </cols>
  <sheetData>
    <row r="1" spans="1:6" s="1" customFormat="1" x14ac:dyDescent="0.25">
      <c r="A1" s="1" t="s">
        <v>48</v>
      </c>
      <c r="B1" s="1" t="s">
        <v>49</v>
      </c>
      <c r="C1" s="1" t="s">
        <v>59</v>
      </c>
      <c r="D1" s="1" t="s">
        <v>51</v>
      </c>
      <c r="E1" s="1" t="s">
        <v>52</v>
      </c>
      <c r="F1" s="1" t="s">
        <v>60</v>
      </c>
    </row>
    <row r="2" spans="1:6" s="2" customFormat="1" x14ac:dyDescent="0.25">
      <c r="A2" s="2">
        <v>0</v>
      </c>
      <c r="B2" s="3">
        <f>'02_FI_Tracker'!E23</f>
      </c>
      <c r="C2" s="3">
        <f>'00_Inputs'!B13</f>
      </c>
      <c r="D2" s="3">
        <v>0</v>
      </c>
      <c r="E2" s="3">
        <f>B2-C2+D2</f>
      </c>
      <c r="F2" s="2">
        <f>IF(E2&gt;0,"Yes","No")</f>
      </c>
    </row>
    <row r="3" spans="1:6" s="2" customFormat="1" x14ac:dyDescent="0.25">
      <c r="A3" s="2">
        <f>A2+1</f>
      </c>
      <c r="B3" s="3">
        <f>E2</f>
      </c>
      <c r="C3" s="3">
        <f>C2*(1+'00_Inputs'!B10)</f>
      </c>
      <c r="D3" s="3">
        <f>B3*'00_Inputs'!B9</f>
      </c>
      <c r="E3" s="3">
        <f>B3-C3+D3</f>
      </c>
      <c r="F3" s="2">
        <f>IF(E3&gt;0,"Yes","No")</f>
      </c>
    </row>
    <row r="4" spans="1:6" s="2" customFormat="1" x14ac:dyDescent="0.25">
      <c r="A4" s="2">
        <f>A3+1</f>
      </c>
      <c r="B4" s="3">
        <f>E3</f>
      </c>
      <c r="C4" s="3">
        <f>C3*(1+'00_Inputs'!B10)</f>
      </c>
      <c r="D4" s="3">
        <f>B4*'00_Inputs'!B9</f>
      </c>
      <c r="E4" s="3">
        <f>B4-C4+D4</f>
      </c>
      <c r="F4" s="2">
        <f>IF(E4&gt;0,"Yes","No")</f>
      </c>
    </row>
    <row r="5" spans="1:6" s="2" customFormat="1" x14ac:dyDescent="0.25">
      <c r="A5" s="2">
        <f>A4+1</f>
      </c>
      <c r="B5" s="3">
        <f>E4</f>
      </c>
      <c r="C5" s="3">
        <f>C4*(1+'00_Inputs'!B10)</f>
      </c>
      <c r="D5" s="3">
        <f>B5*'00_Inputs'!B9</f>
      </c>
      <c r="E5" s="3">
        <f>B5-C5+D5</f>
      </c>
      <c r="F5" s="2">
        <f>IF(E5&gt;0,"Yes","No")</f>
      </c>
    </row>
    <row r="6" spans="1:6" s="2" customFormat="1" x14ac:dyDescent="0.25">
      <c r="A6" s="2">
        <f>A5+1</f>
      </c>
      <c r="B6" s="3">
        <f>E5</f>
      </c>
      <c r="C6" s="3">
        <f>C5*(1+'00_Inputs'!B10)</f>
      </c>
      <c r="D6" s="3">
        <f>B6*'00_Inputs'!B9</f>
      </c>
      <c r="E6" s="3">
        <f>B6-C6+D6</f>
      </c>
      <c r="F6" s="2">
        <f>IF(E6&gt;0,"Yes","No")</f>
      </c>
    </row>
    <row r="7" spans="1:6" s="2" customFormat="1" x14ac:dyDescent="0.25">
      <c r="A7" s="2">
        <f>A6+1</f>
      </c>
      <c r="B7" s="3">
        <f>E6</f>
      </c>
      <c r="C7" s="3">
        <f>C6*(1+'00_Inputs'!B10)</f>
      </c>
      <c r="D7" s="3">
        <f>B7*'00_Inputs'!B9</f>
      </c>
      <c r="E7" s="3">
        <f>B7-C7+D7</f>
      </c>
      <c r="F7" s="2">
        <f>IF(E7&gt;0,"Yes","No")</f>
      </c>
    </row>
    <row r="8" spans="1:6" s="2" customFormat="1" x14ac:dyDescent="0.25">
      <c r="A8" s="2">
        <f>A7+1</f>
      </c>
      <c r="B8" s="3">
        <f>E7</f>
      </c>
      <c r="C8" s="3">
        <f>C7*(1+'00_Inputs'!B10)</f>
      </c>
      <c r="D8" s="3">
        <f>B8*'00_Inputs'!B9</f>
      </c>
      <c r="E8" s="3">
        <f>B8-C8+D8</f>
      </c>
      <c r="F8" s="2">
        <f>IF(E8&gt;0,"Yes","No")</f>
      </c>
    </row>
    <row r="9" spans="1:6" s="2" customFormat="1" x14ac:dyDescent="0.25">
      <c r="A9" s="2">
        <f>A8+1</f>
      </c>
      <c r="B9" s="3">
        <f>E8</f>
      </c>
      <c r="C9" s="3">
        <f>C8*(1+'00_Inputs'!B10)</f>
      </c>
      <c r="D9" s="3">
        <f>B9*'00_Inputs'!B9</f>
      </c>
      <c r="E9" s="3">
        <f>B9-C9+D9</f>
      </c>
      <c r="F9" s="2">
        <f>IF(E9&gt;0,"Yes","No")</f>
      </c>
    </row>
    <row r="10" spans="1:6" s="2" customFormat="1" x14ac:dyDescent="0.25">
      <c r="A10" s="2">
        <f>A9+1</f>
      </c>
      <c r="B10" s="3">
        <f>E9</f>
      </c>
      <c r="C10" s="3">
        <f>C9*(1+'00_Inputs'!B10)</f>
      </c>
      <c r="D10" s="3">
        <f>B10*'00_Inputs'!B9</f>
      </c>
      <c r="E10" s="3">
        <f>B10-C10+D10</f>
      </c>
      <c r="F10" s="2">
        <f>IF(E10&gt;0,"Yes","No")</f>
      </c>
    </row>
    <row r="11" spans="1:6" s="2" customFormat="1" x14ac:dyDescent="0.25">
      <c r="A11" s="2">
        <f>A10+1</f>
      </c>
      <c r="B11" s="3">
        <f>E10</f>
      </c>
      <c r="C11" s="3">
        <f>C10*(1+'00_Inputs'!B10)</f>
      </c>
      <c r="D11" s="3">
        <f>B11*'00_Inputs'!B9</f>
      </c>
      <c r="E11" s="3">
        <f>B11-C11+D11</f>
      </c>
      <c r="F11" s="2">
        <f>IF(E11&gt;0,"Yes","No")</f>
      </c>
    </row>
    <row r="12" spans="1:6" s="2" customFormat="1" x14ac:dyDescent="0.25">
      <c r="A12" s="2">
        <f>A11+1</f>
      </c>
      <c r="B12" s="3">
        <f>E11</f>
      </c>
      <c r="C12" s="3">
        <f>C11*(1+'00_Inputs'!B10)</f>
      </c>
      <c r="D12" s="3">
        <f>B12*'00_Inputs'!B9</f>
      </c>
      <c r="E12" s="3">
        <f>B12-C12+D12</f>
      </c>
      <c r="F12" s="2">
        <f>IF(E12&gt;0,"Yes","No")</f>
      </c>
    </row>
    <row r="13" spans="1:6" s="2" customFormat="1" x14ac:dyDescent="0.25">
      <c r="A13" s="2">
        <f>A12+1</f>
      </c>
      <c r="B13" s="3">
        <f>E12</f>
      </c>
      <c r="C13" s="3">
        <f>C12*(1+'00_Inputs'!B10)</f>
      </c>
      <c r="D13" s="3">
        <f>B13*'00_Inputs'!B9</f>
      </c>
      <c r="E13" s="3">
        <f>B13-C13+D13</f>
      </c>
      <c r="F13" s="2">
        <f>IF(E13&gt;0,"Yes","No")</f>
      </c>
    </row>
    <row r="14" spans="1:6" s="2" customFormat="1" x14ac:dyDescent="0.25">
      <c r="A14" s="2">
        <f>A13+1</f>
      </c>
      <c r="B14" s="3">
        <f>E13</f>
      </c>
      <c r="C14" s="3">
        <f>C13*(1+'00_Inputs'!B10)</f>
      </c>
      <c r="D14" s="3">
        <f>B14*'00_Inputs'!B9</f>
      </c>
      <c r="E14" s="3">
        <f>B14-C14+D14</f>
      </c>
      <c r="F14" s="2">
        <f>IF(E14&gt;0,"Yes","No")</f>
      </c>
    </row>
    <row r="15" spans="1:6" s="2" customFormat="1" x14ac:dyDescent="0.25">
      <c r="A15" s="2">
        <f>A14+1</f>
      </c>
      <c r="B15" s="3">
        <f>E14</f>
      </c>
      <c r="C15" s="3">
        <f>C14*(1+'00_Inputs'!B10)</f>
      </c>
      <c r="D15" s="3">
        <f>B15*'00_Inputs'!B9</f>
      </c>
      <c r="E15" s="3">
        <f>B15-C15+D15</f>
      </c>
      <c r="F15" s="2">
        <f>IF(E15&gt;0,"Yes","No")</f>
      </c>
    </row>
    <row r="16" spans="1:6" s="2" customFormat="1" x14ac:dyDescent="0.25">
      <c r="A16" s="2">
        <f>A15+1</f>
      </c>
      <c r="B16" s="3">
        <f>E15</f>
      </c>
      <c r="C16" s="3">
        <f>C15*(1+'00_Inputs'!B10)</f>
      </c>
      <c r="D16" s="3">
        <f>B16*'00_Inputs'!B9</f>
      </c>
      <c r="E16" s="3">
        <f>B16-C16+D16</f>
      </c>
      <c r="F16" s="2">
        <f>IF(E16&gt;0,"Yes","No")</f>
      </c>
    </row>
    <row r="17" spans="1:6" s="2" customFormat="1" x14ac:dyDescent="0.25">
      <c r="A17" s="2">
        <f>A16+1</f>
      </c>
      <c r="B17" s="3">
        <f>E16</f>
      </c>
      <c r="C17" s="3">
        <f>C16*(1+'00_Inputs'!B10)</f>
      </c>
      <c r="D17" s="3">
        <f>B17*'00_Inputs'!B9</f>
      </c>
      <c r="E17" s="3">
        <f>B17-C17+D17</f>
      </c>
      <c r="F17" s="2">
        <f>IF(E17&gt;0,"Yes","No")</f>
      </c>
    </row>
    <row r="18" spans="1:6" s="2" customFormat="1" x14ac:dyDescent="0.25">
      <c r="A18" s="2">
        <f>A17+1</f>
      </c>
      <c r="B18" s="3">
        <f>E17</f>
      </c>
      <c r="C18" s="3">
        <f>C17*(1+'00_Inputs'!B10)</f>
      </c>
      <c r="D18" s="3">
        <f>B18*'00_Inputs'!B9</f>
      </c>
      <c r="E18" s="3">
        <f>B18-C18+D18</f>
      </c>
      <c r="F18" s="2">
        <f>IF(E18&gt;0,"Yes","No")</f>
      </c>
    </row>
    <row r="19" spans="1:6" s="2" customFormat="1" x14ac:dyDescent="0.25">
      <c r="A19" s="2">
        <f>A18+1</f>
      </c>
      <c r="B19" s="3">
        <f>E18</f>
      </c>
      <c r="C19" s="3">
        <f>C18*(1+'00_Inputs'!B10)</f>
      </c>
      <c r="D19" s="3">
        <f>B19*'00_Inputs'!B9</f>
      </c>
      <c r="E19" s="3">
        <f>B19-C19+D19</f>
      </c>
      <c r="F19" s="2">
        <f>IF(E19&gt;0,"Yes","No")</f>
      </c>
    </row>
    <row r="20" spans="1:6" s="2" customFormat="1" x14ac:dyDescent="0.25">
      <c r="A20" s="2">
        <f>A19+1</f>
      </c>
      <c r="B20" s="3">
        <f>E19</f>
      </c>
      <c r="C20" s="3">
        <f>C19*(1+'00_Inputs'!B10)</f>
      </c>
      <c r="D20" s="3">
        <f>B20*'00_Inputs'!B9</f>
      </c>
      <c r="E20" s="3">
        <f>B20-C20+D20</f>
      </c>
      <c r="F20" s="2">
        <f>IF(E20&gt;0,"Yes","No")</f>
      </c>
    </row>
    <row r="21" spans="1:6" s="2" customFormat="1" x14ac:dyDescent="0.25">
      <c r="A21" s="2">
        <f>A20+1</f>
      </c>
      <c r="B21" s="3">
        <f>E20</f>
      </c>
      <c r="C21" s="3">
        <f>C20*(1+'00_Inputs'!B10)</f>
      </c>
      <c r="D21" s="3">
        <f>B21*'00_Inputs'!B9</f>
      </c>
      <c r="E21" s="3">
        <f>B21-C21+D21</f>
      </c>
      <c r="F21" s="2">
        <f>IF(E21&gt;0,"Yes","No")</f>
      </c>
    </row>
    <row r="22" spans="1:6" s="2" customFormat="1" x14ac:dyDescent="0.25">
      <c r="A22" s="2">
        <f>A21+1</f>
      </c>
      <c r="B22" s="3">
        <f>E21</f>
      </c>
      <c r="C22" s="3">
        <f>C21*(1+'00_Inputs'!B10)</f>
      </c>
      <c r="D22" s="3">
        <f>B22*'00_Inputs'!B9</f>
      </c>
      <c r="E22" s="3">
        <f>B22-C22+D22</f>
      </c>
      <c r="F22" s="2">
        <f>IF(E22&gt;0,"Yes","No")</f>
      </c>
    </row>
    <row r="23" spans="1:6" s="2" customFormat="1" x14ac:dyDescent="0.25">
      <c r="A23" s="2">
        <f>A22+1</f>
      </c>
      <c r="B23" s="3">
        <f>E22</f>
      </c>
      <c r="C23" s="3">
        <f>C22*(1+'00_Inputs'!B10)</f>
      </c>
      <c r="D23" s="3">
        <f>B23*'00_Inputs'!B9</f>
      </c>
      <c r="E23" s="3">
        <f>B23-C23+D23</f>
      </c>
      <c r="F23" s="2">
        <f>IF(E23&gt;0,"Yes","No")</f>
      </c>
    </row>
    <row r="24" spans="1:6" s="2" customFormat="1" x14ac:dyDescent="0.25">
      <c r="A24" s="2">
        <f>A23+1</f>
      </c>
      <c r="B24" s="3">
        <f>E23</f>
      </c>
      <c r="C24" s="3">
        <f>C23*(1+'00_Inputs'!B10)</f>
      </c>
      <c r="D24" s="3">
        <f>B24*'00_Inputs'!B9</f>
      </c>
      <c r="E24" s="3">
        <f>B24-C24+D24</f>
      </c>
      <c r="F24" s="2">
        <f>IF(E24&gt;0,"Yes","No")</f>
      </c>
    </row>
    <row r="25" spans="1:6" s="2" customFormat="1" x14ac:dyDescent="0.25">
      <c r="A25" s="2">
        <f>A24+1</f>
      </c>
      <c r="B25" s="3">
        <f>E24</f>
      </c>
      <c r="C25" s="3">
        <f>C24*(1+'00_Inputs'!B10)</f>
      </c>
      <c r="D25" s="3">
        <f>B25*'00_Inputs'!B9</f>
      </c>
      <c r="E25" s="3">
        <f>B25-C25+D25</f>
      </c>
      <c r="F25" s="2">
        <f>IF(E25&gt;0,"Yes","No")</f>
      </c>
    </row>
    <row r="26" spans="1:6" s="2" customFormat="1" x14ac:dyDescent="0.25">
      <c r="A26" s="2">
        <f>A25+1</f>
      </c>
      <c r="B26" s="3">
        <f>E25</f>
      </c>
      <c r="C26" s="3">
        <f>C25*(1+'00_Inputs'!B10)</f>
      </c>
      <c r="D26" s="3">
        <f>B26*'00_Inputs'!B9</f>
      </c>
      <c r="E26" s="3">
        <f>B26-C26+D26</f>
      </c>
      <c r="F26" s="2">
        <f>IF(E26&gt;0,"Yes","No")</f>
      </c>
    </row>
    <row r="27" spans="1:6" s="2" customFormat="1" x14ac:dyDescent="0.25">
      <c r="A27" s="2">
        <f>A26+1</f>
      </c>
      <c r="B27" s="3">
        <f>E26</f>
      </c>
      <c r="C27" s="3">
        <f>C26*(1+'00_Inputs'!B10)</f>
      </c>
      <c r="D27" s="3">
        <f>B27*'00_Inputs'!B9</f>
      </c>
      <c r="E27" s="3">
        <f>B27-C27+D27</f>
      </c>
      <c r="F27" s="2">
        <f>IF(E27&gt;0,"Yes","No")</f>
      </c>
    </row>
    <row r="28" spans="1:6" s="2" customFormat="1" x14ac:dyDescent="0.25">
      <c r="A28" s="2">
        <f>A27+1</f>
      </c>
      <c r="B28" s="3">
        <f>E27</f>
      </c>
      <c r="C28" s="3">
        <f>C27*(1+'00_Inputs'!B10)</f>
      </c>
      <c r="D28" s="3">
        <f>B28*'00_Inputs'!B9</f>
      </c>
      <c r="E28" s="3">
        <f>B28-C28+D28</f>
      </c>
      <c r="F28" s="2">
        <f>IF(E28&gt;0,"Yes","No")</f>
      </c>
    </row>
    <row r="29" spans="1:6" s="2" customFormat="1" x14ac:dyDescent="0.25">
      <c r="A29" s="2">
        <f>A28+1</f>
      </c>
      <c r="B29" s="3">
        <f>E28</f>
      </c>
      <c r="C29" s="3">
        <f>C28*(1+'00_Inputs'!B10)</f>
      </c>
      <c r="D29" s="3">
        <f>B29*'00_Inputs'!B9</f>
      </c>
      <c r="E29" s="3">
        <f>B29-C29+D29</f>
      </c>
      <c r="F29" s="2">
        <f>IF(E29&gt;0,"Yes","No")</f>
      </c>
    </row>
    <row r="30" spans="1:6" s="2" customFormat="1" x14ac:dyDescent="0.25">
      <c r="A30" s="2">
        <f>A29+1</f>
      </c>
      <c r="B30" s="3">
        <f>E29</f>
      </c>
      <c r="C30" s="3">
        <f>C29*(1+'00_Inputs'!B10)</f>
      </c>
      <c r="D30" s="3">
        <f>B30*'00_Inputs'!B9</f>
      </c>
      <c r="E30" s="3">
        <f>B30-C30+D30</f>
      </c>
      <c r="F30" s="2">
        <f>IF(E30&gt;0,"Yes","No")</f>
      </c>
    </row>
    <row r="31" spans="1:6" s="2" customFormat="1" x14ac:dyDescent="0.25">
      <c r="A31" s="2">
        <f>A30+1</f>
      </c>
      <c r="B31" s="3">
        <f>E30</f>
      </c>
      <c r="C31" s="3">
        <f>C30*(1+'00_Inputs'!B10)</f>
      </c>
      <c r="D31" s="3">
        <f>B31*'00_Inputs'!B9</f>
      </c>
      <c r="E31" s="3">
        <f>B31-C31+D31</f>
      </c>
      <c r="F31" s="2">
        <f>IF(E31&gt;0,"Yes","No")</f>
      </c>
    </row>
    <row r="32" spans="1:6" s="2" customFormat="1" x14ac:dyDescent="0.25">
      <c r="A32" s="2">
        <f>A31+1</f>
      </c>
      <c r="B32" s="3">
        <f>E31</f>
      </c>
      <c r="C32" s="3">
        <f>C31*(1+'00_Inputs'!B10)</f>
      </c>
      <c r="D32" s="3">
        <f>B32*'00_Inputs'!B9</f>
      </c>
      <c r="E32" s="3">
        <f>B32-C32+D32</f>
      </c>
      <c r="F32" s="2">
        <f>IF(E32&gt;0,"Yes","No")</f>
      </c>
    </row>
    <row r="33" spans="1:6" s="2" customFormat="1" x14ac:dyDescent="0.25">
      <c r="A33" s="2">
        <f>A32+1</f>
      </c>
      <c r="B33" s="3">
        <f>E32</f>
      </c>
      <c r="C33" s="3">
        <f>C32*(1+'00_Inputs'!B10)</f>
      </c>
      <c r="D33" s="3">
        <f>B33*'00_Inputs'!B9</f>
      </c>
      <c r="E33" s="3">
        <f>B33-C33+D33</f>
      </c>
      <c r="F33" s="2">
        <f>IF(E33&gt;0,"Yes","No")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2" customWidth="1"/>
    <col min="5" max="5" width="22" customWidth="1"/>
  </cols>
  <sheetData>
    <row r="1" spans="1:5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s="2" customFormat="1" x14ac:dyDescent="0.25">
      <c r="A2" s="2" t="s">
        <v>66</v>
      </c>
      <c r="B2" s="4">
        <v>0.55</v>
      </c>
      <c r="C2" s="4">
        <v>0.58</v>
      </c>
      <c r="D2" s="4">
        <f>C2-B2</f>
      </c>
      <c r="E2" s="2">
        <f>IF(ABS(D2)&gt;0.03,"Rebalance","Hold")</f>
      </c>
    </row>
    <row r="3" spans="1:5" s="2" customFormat="1" x14ac:dyDescent="0.25">
      <c r="A3" s="2" t="s">
        <v>67</v>
      </c>
      <c r="B3" s="4">
        <v>0.25</v>
      </c>
      <c r="C3" s="4">
        <v>0.22</v>
      </c>
      <c r="D3" s="4">
        <f>C3-B3</f>
      </c>
      <c r="E3" s="2">
        <f>IF(ABS(D3)&gt;0.03,"Rebalance","Hold")</f>
      </c>
    </row>
    <row r="4" spans="1:5" s="2" customFormat="1" x14ac:dyDescent="0.25">
      <c r="A4" s="2" t="s">
        <v>68</v>
      </c>
      <c r="B4" s="4">
        <v>0.2</v>
      </c>
      <c r="C4" s="4">
        <v>0.2</v>
      </c>
      <c r="D4" s="4">
        <f>C4-B4</f>
      </c>
      <c r="E4" s="2">
        <f>IF(ABS(D4)&gt;0.03,"Rebalance","Hold")</f>
      </c>
    </row>
    <row r="5" spans="1:5" s="2" customFormat="1" x14ac:dyDescent="0.25">
      <c r="A5" s="2" t="s">
        <v>69</v>
      </c>
      <c r="B5" s="3">
        <f>'02_FI_Tracker'!E23</f>
      </c>
      <c r="C5" s="2" t="s">
        <v>46</v>
      </c>
      <c r="D5" s="2" t="s">
        <v>46</v>
      </c>
      <c r="E5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8" customWidth="1"/>
  </cols>
  <sheetData>
    <row r="1" spans="1:4" s="1" customFormat="1" x14ac:dyDescent="0.25">
      <c r="A1" s="1" t="s">
        <v>71</v>
      </c>
      <c r="B1" s="1" t="s">
        <v>72</v>
      </c>
      <c r="C1" s="1" t="s">
        <v>73</v>
      </c>
      <c r="D1" s="1" t="s">
        <v>74</v>
      </c>
    </row>
    <row r="2" spans="1:4" s="2" customFormat="1" x14ac:dyDescent="0.25">
      <c r="A2" s="2" t="s">
        <v>75</v>
      </c>
      <c r="B2" s="3">
        <f>'00_Inputs'!B14</f>
      </c>
      <c r="C2" s="3">
        <f>'00_Inputs'!B15</f>
      </c>
      <c r="D2" s="3">
        <f>B2-C2</f>
      </c>
    </row>
    <row r="3" spans="1:4" s="2" customFormat="1" x14ac:dyDescent="0.25">
      <c r="A3" s="2" t="s">
        <v>76</v>
      </c>
      <c r="B3" s="3">
        <f>B2*10</f>
      </c>
      <c r="C3" s="3">
        <f>C2*10</f>
      </c>
      <c r="D3" s="3">
        <f>B3-C3</f>
      </c>
    </row>
    <row r="4" spans="1:4" s="2" customFormat="1" x14ac:dyDescent="0.25">
      <c r="A4" s="2" t="s">
        <v>77</v>
      </c>
      <c r="B4" s="3">
        <f>0</f>
      </c>
      <c r="C4" s="3">
        <f>D2*(((1+'00_Inputs'!B9)^10-1)/'00_Inputs'!B9)</f>
      </c>
      <c r="D4" s="3">
        <f>C4-B4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8" customWidth="1"/>
    <col min="5" max="5" width="14" customWidth="1"/>
    <col min="6" max="6" width="34" customWidth="1"/>
  </cols>
  <sheetData>
    <row r="1" spans="1:6" s="1" customForma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65</v>
      </c>
    </row>
    <row r="2" spans="1:6" s="2" customFormat="1" x14ac:dyDescent="0.25">
      <c r="A2" s="2" t="s">
        <v>83</v>
      </c>
      <c r="B2" s="4">
        <v>0.3</v>
      </c>
      <c r="C2" s="4">
        <v>0.85</v>
      </c>
      <c r="D2" s="4">
        <v>0.1</v>
      </c>
      <c r="E2" s="4">
        <f>AVERAGE(B2:D2)</f>
      </c>
      <c r="F2" s="2" t="s">
        <v>84</v>
      </c>
    </row>
    <row r="3" spans="1:6" s="2" customFormat="1" x14ac:dyDescent="0.25">
      <c r="A3" s="2" t="s">
        <v>85</v>
      </c>
      <c r="B3" s="4">
        <v>0.3</v>
      </c>
      <c r="C3" s="4">
        <v>0.85</v>
      </c>
      <c r="D3" s="4">
        <v>0.1</v>
      </c>
      <c r="E3" s="4">
        <f>AVERAGE(B3:D3)</f>
      </c>
      <c r="F3" s="2" t="s">
        <v>84</v>
      </c>
    </row>
    <row r="4" spans="1:6" s="2" customFormat="1" x14ac:dyDescent="0.25">
      <c r="A4" s="2" t="s">
        <v>86</v>
      </c>
      <c r="B4" s="4">
        <v>0.3</v>
      </c>
      <c r="C4" s="4">
        <v>0.85</v>
      </c>
      <c r="D4" s="4">
        <v>0.1</v>
      </c>
      <c r="E4" s="4">
        <f>AVERAGE(B4:D4)</f>
      </c>
      <c r="F4" s="2" t="s">
        <v>84</v>
      </c>
    </row>
    <row r="5" spans="1:6" s="2" customFormat="1" x14ac:dyDescent="0.25">
      <c r="A5" s="2" t="s">
        <v>87</v>
      </c>
      <c r="B5" s="4">
        <v>0.3</v>
      </c>
      <c r="C5" s="4">
        <v>0.85</v>
      </c>
      <c r="D5" s="4">
        <v>0.1</v>
      </c>
      <c r="E5" s="4">
        <f>AVERAGE(B5:D5)</f>
      </c>
      <c r="F5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32" customWidth="1"/>
  </cols>
  <sheetData>
    <row r="1" spans="1:3" s="1" customFormat="1" x14ac:dyDescent="0.25">
      <c r="A1" s="1" t="s">
        <v>88</v>
      </c>
      <c r="B1" s="1" t="s">
        <v>1</v>
      </c>
      <c r="C1" s="1" t="s">
        <v>89</v>
      </c>
    </row>
    <row r="2" spans="1:3" s="2" customFormat="1" x14ac:dyDescent="0.25">
      <c r="A2" s="2" t="s">
        <v>53</v>
      </c>
      <c r="B2" s="3">
        <f>'00_Inputs'!B8</f>
      </c>
      <c r="C2" s="2" t="s">
        <v>90</v>
      </c>
    </row>
    <row r="3" spans="1:3" s="2" customFormat="1" x14ac:dyDescent="0.25">
      <c r="A3" s="2" t="s">
        <v>91</v>
      </c>
      <c r="B3" s="3">
        <f>'02_FI_Tracker'!E23</f>
      </c>
      <c r="C3" s="2" t="s">
        <v>92</v>
      </c>
    </row>
    <row r="4" spans="1:3" s="2" customFormat="1" x14ac:dyDescent="0.25">
      <c r="A4" s="2" t="s">
        <v>93</v>
      </c>
      <c r="B4" s="4">
        <f>'02_FI_Tracker'!G23</f>
      </c>
      <c r="C4" s="2" t="s">
        <v>92</v>
      </c>
    </row>
    <row r="5" spans="1:3" s="2" customFormat="1" x14ac:dyDescent="0.25">
      <c r="A5" s="2" t="s">
        <v>94</v>
      </c>
      <c r="B5" s="3">
        <f>'03_Compound_Path'!F23</f>
      </c>
      <c r="C5" s="2" t="s">
        <v>95</v>
      </c>
    </row>
    <row r="6" spans="1:3" s="2" customFormat="1" x14ac:dyDescent="0.25">
      <c r="A6" s="2" t="s">
        <v>96</v>
      </c>
      <c r="B6" s="5">
        <f>'04_Withdrawal'!F33</f>
      </c>
      <c r="C6" s="2" t="s">
        <v>59</v>
      </c>
    </row>
    <row r="7" spans="1:3" s="2" customFormat="1" x14ac:dyDescent="0.25">
      <c r="A7" s="2" t="s">
        <v>97</v>
      </c>
      <c r="B7" s="6">
        <f>COUNTIF('05_Allocation'!E2:E4,"Rebalance")</f>
      </c>
      <c r="C7" s="2" t="s">
        <v>98</v>
      </c>
    </row>
    <row r="8" spans="1:3" s="2" customFormat="1" x14ac:dyDescent="0.25">
      <c r="A8" s="2" t="s">
        <v>99</v>
      </c>
      <c r="B8" s="4">
        <f>AVERAGE('07_Quarterly_Review'!E2:E5)</f>
      </c>
      <c r="C8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56" customWidth="1"/>
    <col min="4" max="4" width="54" customWidth="1"/>
    <col min="5" max="5" width="44" customWidth="1"/>
    <col min="6" max="6" width="40" customWidth="1"/>
  </cols>
  <sheetData>
    <row r="1" spans="1:6" s="1" customFormat="1" x14ac:dyDescent="0.25">
      <c r="A1" s="1" t="s">
        <v>78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s="2" customFormat="1" x14ac:dyDescent="0.25">
      <c r="A2" s="2" t="s">
        <v>83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</row>
    <row r="3" spans="1:6" s="2" customFormat="1" x14ac:dyDescent="0.25">
      <c r="A3" s="2" t="s">
        <v>85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</row>
    <row r="4" spans="1:6" s="2" customFormat="1" x14ac:dyDescent="0.25">
      <c r="A4" s="2" t="s">
        <v>86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</row>
    <row r="5" spans="1:6" s="2" customFormat="1" x14ac:dyDescent="0.25">
      <c r="A5" s="2" t="s">
        <v>87</v>
      </c>
      <c r="B5" s="2" t="s">
        <v>121</v>
      </c>
      <c r="C5" s="2" t="s">
        <v>122</v>
      </c>
      <c r="D5" s="2" t="s">
        <v>123</v>
      </c>
      <c r="E5" s="2" t="s">
        <v>124</v>
      </c>
      <c r="F5" s="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44" customWidth="1"/>
    <col min="4" max="4" width="34" customWidth="1"/>
    <col min="5" max="5" width="44" customWidth="1"/>
    <col min="6" max="6" width="16" customWidth="1"/>
    <col min="7" max="7" width="42" customWidth="1"/>
  </cols>
  <sheetData>
    <row r="1" spans="1:7" s="1" customFormat="1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 s="2" customFormat="1" x14ac:dyDescent="0.25">
      <c r="A2" s="2">
        <v>1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83</v>
      </c>
      <c r="G2" s="2" t="s">
        <v>137</v>
      </c>
    </row>
    <row r="3" spans="1:7" s="2" customFormat="1" x14ac:dyDescent="0.25">
      <c r="A3" s="2">
        <v>2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83</v>
      </c>
      <c r="G3" s="2" t="s">
        <v>142</v>
      </c>
    </row>
    <row r="4" spans="1:7" s="2" customFormat="1" x14ac:dyDescent="0.25">
      <c r="A4" s="2">
        <v>3</v>
      </c>
      <c r="B4" s="2" t="s">
        <v>143</v>
      </c>
      <c r="C4" s="2" t="s">
        <v>144</v>
      </c>
      <c r="D4" s="2" t="s">
        <v>145</v>
      </c>
      <c r="E4" s="2" t="s">
        <v>146</v>
      </c>
      <c r="F4" s="2" t="s">
        <v>83</v>
      </c>
      <c r="G4" s="2" t="s">
        <v>147</v>
      </c>
    </row>
    <row r="5" spans="1:7" s="2" customFormat="1" x14ac:dyDescent="0.25">
      <c r="A5" s="2">
        <v>4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83</v>
      </c>
      <c r="G5" s="2" t="s">
        <v>137</v>
      </c>
    </row>
    <row r="6" spans="1:7" s="2" customFormat="1" x14ac:dyDescent="0.25">
      <c r="A6" s="2">
        <v>5</v>
      </c>
      <c r="B6" s="2" t="s">
        <v>152</v>
      </c>
      <c r="C6" s="2" t="s">
        <v>153</v>
      </c>
      <c r="D6" s="2" t="s">
        <v>154</v>
      </c>
      <c r="E6" s="2" t="s">
        <v>155</v>
      </c>
      <c r="F6" s="2" t="s">
        <v>85</v>
      </c>
      <c r="G6" s="2" t="s">
        <v>156</v>
      </c>
    </row>
    <row r="7" spans="1:7" s="2" customFormat="1" x14ac:dyDescent="0.25">
      <c r="A7" s="2">
        <v>6</v>
      </c>
      <c r="B7" s="2" t="s">
        <v>157</v>
      </c>
      <c r="C7" s="2" t="s">
        <v>158</v>
      </c>
      <c r="D7" s="2" t="s">
        <v>159</v>
      </c>
      <c r="E7" s="2" t="s">
        <v>160</v>
      </c>
      <c r="F7" s="2" t="s">
        <v>85</v>
      </c>
      <c r="G7" s="2" t="s">
        <v>161</v>
      </c>
    </row>
    <row r="8" spans="1:7" s="2" customFormat="1" x14ac:dyDescent="0.25">
      <c r="A8" s="2">
        <v>7</v>
      </c>
      <c r="B8" s="2" t="s">
        <v>162</v>
      </c>
      <c r="C8" s="2" t="s">
        <v>163</v>
      </c>
      <c r="D8" s="2" t="s">
        <v>164</v>
      </c>
      <c r="E8" s="2" t="s">
        <v>165</v>
      </c>
      <c r="F8" s="2" t="s">
        <v>85</v>
      </c>
      <c r="G8" s="2" t="s">
        <v>166</v>
      </c>
    </row>
    <row r="9" spans="1:7" s="2" customFormat="1" x14ac:dyDescent="0.25">
      <c r="A9" s="2">
        <v>8</v>
      </c>
      <c r="B9" s="2" t="s">
        <v>167</v>
      </c>
      <c r="C9" s="2" t="s">
        <v>168</v>
      </c>
      <c r="D9" s="2" t="s">
        <v>169</v>
      </c>
      <c r="E9" s="2" t="s">
        <v>170</v>
      </c>
      <c r="F9" s="2" t="s">
        <v>86</v>
      </c>
      <c r="G9" s="2" t="s">
        <v>171</v>
      </c>
    </row>
    <row r="10" spans="1:7" s="2" customFormat="1" x14ac:dyDescent="0.25">
      <c r="A10" s="2">
        <v>9</v>
      </c>
      <c r="B10" s="2" t="s">
        <v>172</v>
      </c>
      <c r="C10" s="2" t="s">
        <v>173</v>
      </c>
      <c r="D10" s="2" t="s">
        <v>174</v>
      </c>
      <c r="E10" s="2" t="s">
        <v>175</v>
      </c>
      <c r="F10" s="2" t="s">
        <v>87</v>
      </c>
      <c r="G10" s="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00_Inputs</vt:lpstr>
      <vt:lpstr>01_Cashflow</vt:lpstr>
      <vt:lpstr>02_FI_Tracker</vt:lpstr>
      <vt:lpstr>03_Compound_Path</vt:lpstr>
      <vt:lpstr>04_Withdrawal</vt:lpstr>
      <vt:lpstr>05_Allocation</vt:lpstr>
      <vt:lpstr>06_Housing_Model</vt:lpstr>
      <vt:lpstr>07_Quarterly_Review</vt:lpstr>
      <vt:lpstr>08_Dashboard</vt:lpstr>
      <vt:lpstr>09_Wealth_Priority_Outcomes</vt:lpstr>
      <vt:lpstr>10_Wealth_Priority_Order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OFR</dc:creator>
  <dc:title/>
  <dc:subject/>
  <dc:description/>
  <cp:keywords/>
  <cp:category/>
  <cp:lastModifiedBy>OFR</cp:lastModifiedBy>
  <dcterms:created xsi:type="dcterms:W3CDTF">2026-02-20T06:08:46Z</dcterms:created>
  <dcterms:modified xsi:type="dcterms:W3CDTF">2026-02-20T06:08:46Z</dcterms:modified>
</cp:coreProperties>
</file>